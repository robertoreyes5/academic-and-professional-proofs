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90e01b3c9d02f9/Escritorio/IPN Materias/3 Semestre/Apuntes/bases de datos/"/>
    </mc:Choice>
  </mc:AlternateContent>
  <xr:revisionPtr revIDLastSave="0" documentId="8_{A50658BF-9A93-49D1-B36F-5BA09BF7A944}" xr6:coauthVersionLast="47" xr6:coauthVersionMax="47" xr10:uidLastSave="{00000000-0000-0000-0000-000000000000}"/>
  <bookViews>
    <workbookView xWindow="-38820" yWindow="-120" windowWidth="38940" windowHeight="15840" xr2:uid="{F4DE0C16-BAAD-4D4F-81C1-B457AD510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/>
  <c r="S3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</calcChain>
</file>

<file path=xl/sharedStrings.xml><?xml version="1.0" encoding="utf-8"?>
<sst xmlns="http://schemas.openxmlformats.org/spreadsheetml/2006/main" count="322" uniqueCount="57">
  <si>
    <t>González</t>
  </si>
  <si>
    <t>Asistente</t>
  </si>
  <si>
    <t>null</t>
  </si>
  <si>
    <t>Ramos</t>
  </si>
  <si>
    <t>Vendedor</t>
  </si>
  <si>
    <t>López</t>
  </si>
  <si>
    <t>Morales</t>
  </si>
  <si>
    <t>Administrador</t>
  </si>
  <si>
    <t>Aldama</t>
  </si>
  <si>
    <t>Huerta</t>
  </si>
  <si>
    <t>Rosillo</t>
  </si>
  <si>
    <t>Segura</t>
  </si>
  <si>
    <t>Analista</t>
  </si>
  <si>
    <t>Huesca</t>
  </si>
  <si>
    <t>Presidente</t>
  </si>
  <si>
    <t>NULL</t>
  </si>
  <si>
    <t>Rosales</t>
  </si>
  <si>
    <t>Benitez</t>
  </si>
  <si>
    <t>Corona</t>
  </si>
  <si>
    <t>Domínguez</t>
  </si>
  <si>
    <t>Portales</t>
  </si>
  <si>
    <t>P1</t>
  </si>
  <si>
    <t>Tlaxcala</t>
  </si>
  <si>
    <t>P4</t>
  </si>
  <si>
    <t>CDMX</t>
  </si>
  <si>
    <t>P5</t>
  </si>
  <si>
    <t>P6</t>
  </si>
  <si>
    <t>Aguascalientes</t>
  </si>
  <si>
    <t>1230</t>
  </si>
  <si>
    <t>1242</t>
  </si>
  <si>
    <t>2010-10-12</t>
  </si>
  <si>
    <t>8000</t>
  </si>
  <si>
    <t>20</t>
  </si>
  <si>
    <t>21</t>
  </si>
  <si>
    <t>1231</t>
  </si>
  <si>
    <t>Columna1</t>
  </si>
  <si>
    <t>Columna2</t>
  </si>
  <si>
    <t>1243</t>
  </si>
  <si>
    <t>2010-10-13</t>
  </si>
  <si>
    <t>8001</t>
  </si>
  <si>
    <t>Columna3</t>
  </si>
  <si>
    <t>,</t>
  </si>
  <si>
    <t>,"</t>
  </si>
  <si>
    <t>",</t>
  </si>
  <si>
    <t>","</t>
  </si>
  <si>
    <t>(</t>
  </si>
  <si>
    <t>)</t>
  </si>
  <si>
    <t>22</t>
  </si>
  <si>
    <t>PROYECTO</t>
  </si>
  <si>
    <t>EMPLEADO_PROYECTO</t>
  </si>
  <si>
    <t>212</t>
  </si>
  <si>
    <t>Contabilidad</t>
  </si>
  <si>
    <t>Investigación</t>
  </si>
  <si>
    <t>Guadalajara</t>
  </si>
  <si>
    <t>Ventas</t>
  </si>
  <si>
    <t>Operaciones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</si>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</sst>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7" fontId="0" fillId="0" borderId="0" xfId="0" applyNumberFormat="1"/>
    <xf numFmtId="167" fontId="0" fillId="2" borderId="1" xfId="0" applyNumberFormat="1" applyFont="1" applyFill="1" applyBorder="1"/>
    <xf numFmtId="167" fontId="0" fillId="0" borderId="1" xfId="0" applyNumberFormat="1" applyFont="1" applyBorder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7" formatCode="yyyy\-mm\-dd;@"/>
    </dxf>
    <dxf>
      <numFmt numFmtId="167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9F9DF-D082-45DA-B865-45361DC92996}" name="Tabla1" displayName="Tabla1" ref="B2:S35" totalsRowShown="0">
  <autoFilter ref="B2:S35" xr:uid="{1269F9DF-D082-45DA-B865-45361DC92996}"/>
  <tableColumns count="18">
    <tableColumn id="1" xr3:uid="{0415B88E-E78C-4B09-9050-8E933BF724BD}" name="1230"/>
    <tableColumn id="10" xr3:uid="{8A197C18-EE13-48A2-97A8-C4A9AFB21642}" name="1231"/>
    <tableColumn id="2" xr3:uid="{3384DC97-0DD6-4C76-8021-4B0F4767A733}" name="González"/>
    <tableColumn id="11" xr3:uid="{AA3DA430-D0BC-4FDA-836F-74FA2A4DBD0E}" name="Columna1"/>
    <tableColumn id="3" xr3:uid="{A5C8700C-E448-4AE1-9348-9549A33933CA}" name="Asistente"/>
    <tableColumn id="12" xr3:uid="{9FF3F9FE-F3E4-4A60-AABE-3C46D73AE4F1}" name="Columna2"/>
    <tableColumn id="4" xr3:uid="{A00C78C0-CE08-4363-AAE0-C813A04BCAD9}" name="1242"/>
    <tableColumn id="13" xr3:uid="{773DBB87-6906-4E63-B0BA-CCC55D2A26E8}" name="1243"/>
    <tableColumn id="5" xr3:uid="{E4FEDEA6-C480-4498-93AB-C6720378E0DA}" name="2010-10-12" dataDxfId="2"/>
    <tableColumn id="14" xr3:uid="{C886BBD8-4E6D-43FF-B095-F3B447A4CD78}" name="2010-10-13" dataDxfId="1"/>
    <tableColumn id="6" xr3:uid="{DAF9E236-03B2-4083-B72A-2B432E44B41E}" name="8000"/>
    <tableColumn id="15" xr3:uid="{F535A422-E88F-42B3-BCDE-7DD17E01FC15}" name="8001"/>
    <tableColumn id="7" xr3:uid="{B26CF778-3BFF-432D-BE62-6DBA0C837006}" name="null"/>
    <tableColumn id="16" xr3:uid="{DCF2A564-015A-4B70-9A16-1D548A80052F}" name="Columna3"/>
    <tableColumn id="8" xr3:uid="{F42F5AE2-C9A7-4F2D-9873-697EC09E8B1D}" name="20"/>
    <tableColumn id="9" xr3:uid="{0F670227-A5B5-48F1-8E0F-0423D1CF67AB}" name="21"/>
    <tableColumn id="18" xr3:uid="{191E2B16-2980-499C-BEB2-31994422F56B}" name="212"/>
    <tableColumn id="17" xr3:uid="{8F18C695-E138-415E-B43D-B65EC7AF47AB}" name="22" dataDxfId="0">
      <calculatedColumnFormula>_xlfn.CONCAT(A3,B3,C3,D3,E3,F3,G3,H3,I3,J3,K3,L3,M3,N3,O3,P3,Q3,Tabla1[[#This Row],[212]])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9CEA-3630-4A04-B175-F55E0DE69184}">
  <dimension ref="A2:AD35"/>
  <sheetViews>
    <sheetView tabSelected="1" workbookViewId="0">
      <selection activeCell="X21" sqref="X21"/>
    </sheetView>
  </sheetViews>
  <sheetFormatPr baseColWidth="10" defaultRowHeight="15" x14ac:dyDescent="0.25"/>
  <cols>
    <col min="6" max="7" width="11.5703125" customWidth="1"/>
    <col min="10" max="11" width="12.5703125" customWidth="1"/>
    <col min="19" max="19" width="57.85546875" bestFit="1" customWidth="1"/>
  </cols>
  <sheetData>
    <row r="2" spans="1:30" x14ac:dyDescent="0.25">
      <c r="B2" t="s">
        <v>28</v>
      </c>
      <c r="C2" t="s">
        <v>34</v>
      </c>
      <c r="D2" t="s">
        <v>0</v>
      </c>
      <c r="E2" t="s">
        <v>35</v>
      </c>
      <c r="F2" t="s">
        <v>1</v>
      </c>
      <c r="G2" t="s">
        <v>36</v>
      </c>
      <c r="H2" t="s">
        <v>29</v>
      </c>
      <c r="I2" t="s">
        <v>37</v>
      </c>
      <c r="J2" s="2" t="s">
        <v>30</v>
      </c>
      <c r="K2" s="2" t="s">
        <v>38</v>
      </c>
      <c r="L2" t="s">
        <v>31</v>
      </c>
      <c r="M2" t="s">
        <v>39</v>
      </c>
      <c r="N2" t="s">
        <v>2</v>
      </c>
      <c r="O2" t="s">
        <v>40</v>
      </c>
      <c r="P2" t="s">
        <v>32</v>
      </c>
      <c r="Q2" t="s">
        <v>33</v>
      </c>
      <c r="R2" t="s">
        <v>50</v>
      </c>
      <c r="S2" t="s">
        <v>47</v>
      </c>
      <c r="T2">
        <v>1001</v>
      </c>
      <c r="U2" t="s">
        <v>21</v>
      </c>
      <c r="V2" t="s">
        <v>22</v>
      </c>
      <c r="W2">
        <v>20</v>
      </c>
      <c r="Z2">
        <v>1231</v>
      </c>
      <c r="AA2">
        <v>1004</v>
      </c>
      <c r="AB2">
        <v>15</v>
      </c>
    </row>
    <row r="3" spans="1:30" x14ac:dyDescent="0.25">
      <c r="A3" t="s">
        <v>45</v>
      </c>
      <c r="B3">
        <v>1231</v>
      </c>
      <c r="C3" t="s">
        <v>42</v>
      </c>
      <c r="D3" t="s">
        <v>3</v>
      </c>
      <c r="E3" t="s">
        <v>44</v>
      </c>
      <c r="F3" t="s">
        <v>4</v>
      </c>
      <c r="G3" t="s">
        <v>43</v>
      </c>
      <c r="H3">
        <v>1235</v>
      </c>
      <c r="I3" t="s">
        <v>42</v>
      </c>
      <c r="J3" s="5">
        <v>43144</v>
      </c>
      <c r="K3" s="2" t="s">
        <v>43</v>
      </c>
      <c r="L3">
        <v>16000</v>
      </c>
      <c r="M3" t="s">
        <v>41</v>
      </c>
      <c r="N3">
        <v>3000</v>
      </c>
      <c r="O3" t="s">
        <v>41</v>
      </c>
      <c r="P3">
        <v>30</v>
      </c>
      <c r="Q3" t="s">
        <v>46</v>
      </c>
      <c r="R3" t="s">
        <v>41</v>
      </c>
      <c r="S3" t="str">
        <f>_xlfn.CONCAT(A3,B3,C3,D3,E3,F3,G3,H3,I3,J3,K3,L3,M3,N3,O3,P3,Q3,Tabla1[[#This Row],[212]])</f>
        <v>(1231,"Ramos","Vendedor",1235,"43144",16000,3000,30),</v>
      </c>
      <c r="T3">
        <v>1004</v>
      </c>
      <c r="U3" t="s">
        <v>23</v>
      </c>
      <c r="V3" t="s">
        <v>24</v>
      </c>
      <c r="W3">
        <v>30</v>
      </c>
      <c r="Z3">
        <v>1231</v>
      </c>
      <c r="AA3">
        <v>1005</v>
      </c>
      <c r="AB3">
        <v>12</v>
      </c>
    </row>
    <row r="4" spans="1:30" x14ac:dyDescent="0.25">
      <c r="A4" t="s">
        <v>45</v>
      </c>
      <c r="B4">
        <v>1232</v>
      </c>
      <c r="C4" t="s">
        <v>42</v>
      </c>
      <c r="D4" t="s">
        <v>5</v>
      </c>
      <c r="E4" t="s">
        <v>44</v>
      </c>
      <c r="F4" t="s">
        <v>4</v>
      </c>
      <c r="G4" t="s">
        <v>43</v>
      </c>
      <c r="H4">
        <v>1235</v>
      </c>
      <c r="I4" t="s">
        <v>42</v>
      </c>
      <c r="J4" s="6">
        <v>36892</v>
      </c>
      <c r="K4" s="2" t="s">
        <v>43</v>
      </c>
      <c r="L4">
        <v>12500</v>
      </c>
      <c r="M4" t="s">
        <v>41</v>
      </c>
      <c r="N4">
        <v>5000</v>
      </c>
      <c r="O4" t="s">
        <v>41</v>
      </c>
      <c r="P4">
        <v>30</v>
      </c>
      <c r="Q4" t="s">
        <v>46</v>
      </c>
      <c r="R4" t="s">
        <v>41</v>
      </c>
      <c r="S4" t="str">
        <f>_xlfn.CONCAT(A4,B4,C4,D4,E4,F4,G4,H4,I4,J4,K4,L4,M4,N4,O4,P4,Q4,Tabla1[[#This Row],[212]])</f>
        <v>(1232,"López","Vendedor",1235,"36892",12500,5000,30),</v>
      </c>
      <c r="T4">
        <v>1005</v>
      </c>
      <c r="U4" t="s">
        <v>25</v>
      </c>
      <c r="V4" t="s">
        <v>24</v>
      </c>
      <c r="W4">
        <v>30</v>
      </c>
      <c r="Z4">
        <v>1232</v>
      </c>
      <c r="AA4">
        <v>1004</v>
      </c>
      <c r="AB4">
        <v>10</v>
      </c>
    </row>
    <row r="5" spans="1:30" x14ac:dyDescent="0.25">
      <c r="A5" t="s">
        <v>45</v>
      </c>
      <c r="B5">
        <v>1233</v>
      </c>
      <c r="C5" t="s">
        <v>42</v>
      </c>
      <c r="D5" t="s">
        <v>6</v>
      </c>
      <c r="E5" t="s">
        <v>44</v>
      </c>
      <c r="F5" t="s">
        <v>7</v>
      </c>
      <c r="G5" t="s">
        <v>43</v>
      </c>
      <c r="H5">
        <v>1238</v>
      </c>
      <c r="I5" t="s">
        <v>42</v>
      </c>
      <c r="J5" s="5">
        <v>41779</v>
      </c>
      <c r="K5" s="2" t="s">
        <v>43</v>
      </c>
      <c r="L5">
        <v>29750</v>
      </c>
      <c r="M5" t="s">
        <v>42</v>
      </c>
      <c r="N5" t="s">
        <v>2</v>
      </c>
      <c r="O5" t="s">
        <v>43</v>
      </c>
      <c r="P5">
        <v>20</v>
      </c>
      <c r="Q5" t="s">
        <v>46</v>
      </c>
      <c r="R5" t="s">
        <v>41</v>
      </c>
      <c r="S5" t="str">
        <f>_xlfn.CONCAT(A5,B5,C5,D5,E5,F5,G5,H5,I5,J5,K5,L5,M5,N5,O5,P5,Q5,Tabla1[[#This Row],[212]])</f>
        <v>(1233,"Morales","Administrador",1238,"41779",29750,"null",20),</v>
      </c>
      <c r="T5">
        <v>1008</v>
      </c>
      <c r="U5" t="s">
        <v>26</v>
      </c>
      <c r="V5" t="s">
        <v>27</v>
      </c>
      <c r="W5">
        <v>30</v>
      </c>
      <c r="Z5">
        <v>1232</v>
      </c>
      <c r="AA5">
        <v>1008</v>
      </c>
      <c r="AB5">
        <v>8</v>
      </c>
    </row>
    <row r="6" spans="1:30" x14ac:dyDescent="0.25">
      <c r="A6" t="s">
        <v>45</v>
      </c>
      <c r="B6">
        <v>1234</v>
      </c>
      <c r="C6" t="s">
        <v>42</v>
      </c>
      <c r="D6" t="s">
        <v>8</v>
      </c>
      <c r="E6" t="s">
        <v>44</v>
      </c>
      <c r="F6" t="s">
        <v>4</v>
      </c>
      <c r="G6" t="s">
        <v>43</v>
      </c>
      <c r="H6">
        <v>1235</v>
      </c>
      <c r="I6" t="s">
        <v>42</v>
      </c>
      <c r="J6" s="6">
        <v>37163</v>
      </c>
      <c r="K6" s="2" t="s">
        <v>43</v>
      </c>
      <c r="L6">
        <v>28500</v>
      </c>
      <c r="M6" t="s">
        <v>42</v>
      </c>
      <c r="N6" t="s">
        <v>2</v>
      </c>
      <c r="O6" t="s">
        <v>43</v>
      </c>
      <c r="P6">
        <v>30</v>
      </c>
      <c r="Q6" t="s">
        <v>46</v>
      </c>
      <c r="R6" t="s">
        <v>41</v>
      </c>
      <c r="S6" t="str">
        <f>_xlfn.CONCAT(A6,B6,C6,D6,E6,F6,G6,H6,I6,J6,K6,L6,M6,N6,O6,P6,Q6,Tabla1[[#This Row],[212]])</f>
        <v>(1234,"Aldama","Vendedor",1235,"37163",28500,"null",30),</v>
      </c>
      <c r="Z6">
        <v>1234</v>
      </c>
      <c r="AA6">
        <v>1001</v>
      </c>
      <c r="AB6">
        <v>16</v>
      </c>
    </row>
    <row r="7" spans="1:30" x14ac:dyDescent="0.25">
      <c r="A7" t="s">
        <v>45</v>
      </c>
      <c r="B7">
        <v>1235</v>
      </c>
      <c r="C7" t="s">
        <v>42</v>
      </c>
      <c r="D7" t="s">
        <v>9</v>
      </c>
      <c r="E7" t="s">
        <v>44</v>
      </c>
      <c r="F7" t="s">
        <v>7</v>
      </c>
      <c r="G7" t="s">
        <v>43</v>
      </c>
      <c r="H7">
        <v>1238</v>
      </c>
      <c r="I7" t="s">
        <v>42</v>
      </c>
      <c r="J7" s="5">
        <v>39949</v>
      </c>
      <c r="K7" s="2" t="s">
        <v>43</v>
      </c>
      <c r="L7">
        <v>24500</v>
      </c>
      <c r="M7" t="s">
        <v>42</v>
      </c>
      <c r="N7" t="s">
        <v>2</v>
      </c>
      <c r="O7" t="s">
        <v>43</v>
      </c>
      <c r="P7">
        <v>30</v>
      </c>
      <c r="Q7" t="s">
        <v>46</v>
      </c>
      <c r="R7" t="s">
        <v>41</v>
      </c>
      <c r="S7" t="str">
        <f>_xlfn.CONCAT(A7,B7,C7,D7,E7,F7,G7,H7,I7,J7,K7,L7,M7,N7,O7,P7,Q7,Tabla1[[#This Row],[212]])</f>
        <v>(1235,"Huerta","Administrador",1238,"39949",24500,"null",30),</v>
      </c>
      <c r="Z7">
        <v>1234</v>
      </c>
      <c r="AA7">
        <v>1006</v>
      </c>
      <c r="AB7">
        <v>15</v>
      </c>
    </row>
    <row r="8" spans="1:30" x14ac:dyDescent="0.25">
      <c r="A8" t="s">
        <v>45</v>
      </c>
      <c r="B8">
        <v>1236</v>
      </c>
      <c r="C8" t="s">
        <v>42</v>
      </c>
      <c r="D8" t="s">
        <v>10</v>
      </c>
      <c r="E8" t="s">
        <v>44</v>
      </c>
      <c r="F8" t="s">
        <v>7</v>
      </c>
      <c r="G8" t="s">
        <v>43</v>
      </c>
      <c r="H8">
        <v>1238</v>
      </c>
      <c r="I8" t="s">
        <v>42</v>
      </c>
      <c r="J8" s="6">
        <v>42807</v>
      </c>
      <c r="K8" s="2" t="s">
        <v>43</v>
      </c>
      <c r="L8">
        <v>30000</v>
      </c>
      <c r="M8" t="s">
        <v>42</v>
      </c>
      <c r="N8" t="s">
        <v>2</v>
      </c>
      <c r="O8" t="s">
        <v>43</v>
      </c>
      <c r="P8">
        <v>10</v>
      </c>
      <c r="Q8" t="s">
        <v>46</v>
      </c>
      <c r="R8" t="s">
        <v>41</v>
      </c>
      <c r="S8" t="str">
        <f>_xlfn.CONCAT(A8,B8,C8,D8,E8,F8,G8,H8,I8,J8,K8,L8,M8,N8,O8,P8,Q8,Tabla1[[#This Row],[212]])</f>
        <v>(1236,"Rosillo","Administrador",1238,"42807",30000,"null",10),</v>
      </c>
      <c r="Z8">
        <v>1234</v>
      </c>
      <c r="AA8">
        <v>1008</v>
      </c>
      <c r="AB8">
        <v>5</v>
      </c>
    </row>
    <row r="9" spans="1:30" x14ac:dyDescent="0.25">
      <c r="A9" t="s">
        <v>45</v>
      </c>
      <c r="B9">
        <v>1237</v>
      </c>
      <c r="C9" t="s">
        <v>42</v>
      </c>
      <c r="D9" t="s">
        <v>11</v>
      </c>
      <c r="E9" t="s">
        <v>44</v>
      </c>
      <c r="F9" t="s">
        <v>12</v>
      </c>
      <c r="G9" t="s">
        <v>43</v>
      </c>
      <c r="H9">
        <v>1233</v>
      </c>
      <c r="I9" t="s">
        <v>42</v>
      </c>
      <c r="J9" s="5">
        <v>38477</v>
      </c>
      <c r="K9" s="2" t="s">
        <v>43</v>
      </c>
      <c r="L9">
        <v>29750</v>
      </c>
      <c r="M9" t="s">
        <v>42</v>
      </c>
      <c r="N9" t="s">
        <v>2</v>
      </c>
      <c r="O9" t="s">
        <v>43</v>
      </c>
      <c r="P9">
        <v>20</v>
      </c>
      <c r="Q9" t="s">
        <v>46</v>
      </c>
      <c r="R9" t="s">
        <v>41</v>
      </c>
      <c r="S9" t="str">
        <f>_xlfn.CONCAT(A9,B9,C9,D9,E9,F9,G9,H9,I9,J9,K9,L9,M9,N9,O9,P9,Q9,Tabla1[[#This Row],[212]])</f>
        <v>(1237,"Segura","Analista",1233,"38477",29750,"null",20),</v>
      </c>
      <c r="Z9">
        <v>1239</v>
      </c>
      <c r="AA9">
        <v>1005</v>
      </c>
      <c r="AB9">
        <v>6</v>
      </c>
    </row>
    <row r="10" spans="1:30" x14ac:dyDescent="0.25">
      <c r="A10" t="s">
        <v>45</v>
      </c>
      <c r="B10">
        <v>1238</v>
      </c>
      <c r="C10" t="s">
        <v>42</v>
      </c>
      <c r="D10" t="s">
        <v>13</v>
      </c>
      <c r="E10" t="s">
        <v>44</v>
      </c>
      <c r="F10" t="s">
        <v>14</v>
      </c>
      <c r="G10" t="s">
        <v>43</v>
      </c>
      <c r="H10" t="s">
        <v>15</v>
      </c>
      <c r="I10" t="s">
        <v>42</v>
      </c>
      <c r="J10" s="6">
        <v>36526</v>
      </c>
      <c r="K10" s="2" t="s">
        <v>43</v>
      </c>
      <c r="L10">
        <v>50000</v>
      </c>
      <c r="M10" t="s">
        <v>42</v>
      </c>
      <c r="N10" t="s">
        <v>2</v>
      </c>
      <c r="O10" t="s">
        <v>43</v>
      </c>
      <c r="P10">
        <v>10</v>
      </c>
      <c r="Q10" t="s">
        <v>46</v>
      </c>
      <c r="R10" t="s">
        <v>41</v>
      </c>
      <c r="S10" t="str">
        <f>_xlfn.CONCAT(A10,B10,C10,D10,E10,F10,G10,H10,I10,J10,K10,L10,M10,N10,O10,P10,Q10,Tabla1[[#This Row],[212]])</f>
        <v>(1238,"Huesca","Presidente",NULL,"36526",50000,"null",10),</v>
      </c>
      <c r="Z10">
        <v>1248</v>
      </c>
      <c r="AA10">
        <v>1001</v>
      </c>
      <c r="AB10">
        <v>4</v>
      </c>
    </row>
    <row r="11" spans="1:30" x14ac:dyDescent="0.25">
      <c r="A11" t="s">
        <v>45</v>
      </c>
      <c r="B11">
        <v>1239</v>
      </c>
      <c r="C11" t="s">
        <v>42</v>
      </c>
      <c r="D11" t="s">
        <v>16</v>
      </c>
      <c r="E11" t="s">
        <v>44</v>
      </c>
      <c r="F11" t="s">
        <v>4</v>
      </c>
      <c r="G11" t="s">
        <v>43</v>
      </c>
      <c r="H11">
        <v>1235</v>
      </c>
      <c r="I11" t="s">
        <v>42</v>
      </c>
      <c r="J11" s="5">
        <v>38772</v>
      </c>
      <c r="K11" s="2" t="s">
        <v>43</v>
      </c>
      <c r="L11">
        <v>15000</v>
      </c>
      <c r="M11" t="s">
        <v>41</v>
      </c>
      <c r="N11">
        <v>2000</v>
      </c>
      <c r="O11" t="s">
        <v>41</v>
      </c>
      <c r="P11">
        <v>30</v>
      </c>
      <c r="Q11" t="s">
        <v>46</v>
      </c>
      <c r="R11" t="s">
        <v>41</v>
      </c>
      <c r="S11" t="str">
        <f>_xlfn.CONCAT(A11,B11,C11,D11,E11,F11,G11,H11,I11,J11,K11,L11,M11,N11,O11,P11,Q11,Tabla1[[#This Row],[212]])</f>
        <v>(1239,"Rosales","Vendedor",1235,"38772",15000,2000,30),</v>
      </c>
    </row>
    <row r="12" spans="1:30" x14ac:dyDescent="0.25">
      <c r="A12" t="s">
        <v>45</v>
      </c>
      <c r="B12">
        <v>1240</v>
      </c>
      <c r="C12" t="s">
        <v>42</v>
      </c>
      <c r="D12" t="s">
        <v>17</v>
      </c>
      <c r="E12" t="s">
        <v>44</v>
      </c>
      <c r="F12" t="s">
        <v>1</v>
      </c>
      <c r="G12" t="s">
        <v>43</v>
      </c>
      <c r="H12">
        <v>1237</v>
      </c>
      <c r="I12" t="s">
        <v>42</v>
      </c>
      <c r="J12" s="6">
        <v>39707</v>
      </c>
      <c r="K12" s="2" t="s">
        <v>43</v>
      </c>
      <c r="L12">
        <v>11000</v>
      </c>
      <c r="M12" t="s">
        <v>42</v>
      </c>
      <c r="N12" t="s">
        <v>2</v>
      </c>
      <c r="O12" t="s">
        <v>43</v>
      </c>
      <c r="P12">
        <v>20</v>
      </c>
      <c r="Q12" t="s">
        <v>46</v>
      </c>
      <c r="R12" t="s">
        <v>41</v>
      </c>
      <c r="S12" t="str">
        <f>_xlfn.CONCAT(A12,B12,C12,D12,E12,F12,G12,H12,I12,J12,K12,L12,M12,N12,O12,P12,Q12,Tabla1[[#This Row],[212]])</f>
        <v>(1240,"Benitez","Asistente",1237,"39707",11000,"null",20),</v>
      </c>
    </row>
    <row r="13" spans="1:30" x14ac:dyDescent="0.25">
      <c r="A13" t="s">
        <v>45</v>
      </c>
      <c r="B13">
        <v>1241</v>
      </c>
      <c r="C13" t="s">
        <v>42</v>
      </c>
      <c r="D13" t="s">
        <v>18</v>
      </c>
      <c r="E13" t="s">
        <v>44</v>
      </c>
      <c r="F13" t="s">
        <v>1</v>
      </c>
      <c r="G13" t="s">
        <v>43</v>
      </c>
      <c r="H13">
        <v>1235</v>
      </c>
      <c r="I13" t="s">
        <v>42</v>
      </c>
      <c r="J13" s="5">
        <v>39683</v>
      </c>
      <c r="K13" s="2" t="s">
        <v>43</v>
      </c>
      <c r="L13">
        <v>9500</v>
      </c>
      <c r="M13" t="s">
        <v>42</v>
      </c>
      <c r="N13" t="s">
        <v>2</v>
      </c>
      <c r="O13" t="s">
        <v>43</v>
      </c>
      <c r="P13">
        <v>30</v>
      </c>
      <c r="Q13" t="s">
        <v>46</v>
      </c>
      <c r="R13" t="s">
        <v>41</v>
      </c>
      <c r="S13" t="str">
        <f>_xlfn.CONCAT(A13,B13,C13,D13,E13,F13,G13,H13,I13,J13,K13,L13,M13,N13,O13,P13,Q13,Tabla1[[#This Row],[212]])</f>
        <v>(1241,"Corona","Asistente",1235,"39683",9500,"null",30),</v>
      </c>
    </row>
    <row r="14" spans="1:30" x14ac:dyDescent="0.25">
      <c r="A14" t="s">
        <v>45</v>
      </c>
      <c r="B14">
        <v>1242</v>
      </c>
      <c r="C14" t="s">
        <v>42</v>
      </c>
      <c r="D14" t="s">
        <v>19</v>
      </c>
      <c r="E14" t="s">
        <v>44</v>
      </c>
      <c r="F14" t="s">
        <v>12</v>
      </c>
      <c r="G14" t="s">
        <v>43</v>
      </c>
      <c r="H14">
        <v>1233</v>
      </c>
      <c r="I14" t="s">
        <v>42</v>
      </c>
      <c r="J14" s="6">
        <v>42932</v>
      </c>
      <c r="K14" s="2" t="s">
        <v>43</v>
      </c>
      <c r="L14">
        <v>30000</v>
      </c>
      <c r="M14" t="s">
        <v>42</v>
      </c>
      <c r="N14" t="s">
        <v>2</v>
      </c>
      <c r="O14" t="s">
        <v>43</v>
      </c>
      <c r="P14">
        <v>20</v>
      </c>
      <c r="Q14" t="s">
        <v>46</v>
      </c>
      <c r="R14" t="s">
        <v>41</v>
      </c>
      <c r="S14" t="str">
        <f>_xlfn.CONCAT(A14,B14,C14,D14,E14,F14,G14,H14,I14,J14,K14,L14,M14,N14,O14,P14,Q14,Tabla1[[#This Row],[212]])</f>
        <v>(1242,"Domínguez","Analista",1233,"42932",30000,"null",20),</v>
      </c>
    </row>
    <row r="15" spans="1:30" x14ac:dyDescent="0.25">
      <c r="A15" t="s">
        <v>45</v>
      </c>
      <c r="B15">
        <v>1248</v>
      </c>
      <c r="C15" t="s">
        <v>42</v>
      </c>
      <c r="D15" t="s">
        <v>20</v>
      </c>
      <c r="E15" t="s">
        <v>44</v>
      </c>
      <c r="F15" t="s">
        <v>1</v>
      </c>
      <c r="G15" t="s">
        <v>43</v>
      </c>
      <c r="H15">
        <v>1236</v>
      </c>
      <c r="I15" t="s">
        <v>42</v>
      </c>
      <c r="J15" s="5">
        <v>42414</v>
      </c>
      <c r="K15" s="2" t="s">
        <v>43</v>
      </c>
      <c r="L15">
        <v>13000</v>
      </c>
      <c r="M15" t="s">
        <v>42</v>
      </c>
      <c r="N15" t="s">
        <v>2</v>
      </c>
      <c r="O15" t="s">
        <v>43</v>
      </c>
      <c r="P15">
        <v>10</v>
      </c>
      <c r="Q15" t="s">
        <v>46</v>
      </c>
      <c r="R15" t="s">
        <v>41</v>
      </c>
      <c r="S15" t="str">
        <f>_xlfn.CONCAT(A15,B15,C15,D15,E15,F15,G15,H15,I15,J15,K15,L15,M15,N15,O15,P15,Q15,Tabla1[[#This Row],[212]])</f>
        <v>(1248,"Portales","Asistente",1236,"42414",13000,"null",10),</v>
      </c>
    </row>
    <row r="16" spans="1:30" x14ac:dyDescent="0.25">
      <c r="A16" t="s">
        <v>45</v>
      </c>
      <c r="B16" t="s">
        <v>48</v>
      </c>
      <c r="E16" t="s">
        <v>44</v>
      </c>
      <c r="G16" t="s">
        <v>43</v>
      </c>
      <c r="J16" s="2"/>
      <c r="K16" s="2"/>
      <c r="Q16" t="s">
        <v>46</v>
      </c>
      <c r="R16" t="s">
        <v>41</v>
      </c>
      <c r="S16" t="str">
        <f>_xlfn.CONCAT(A16,B16,C16,D16,E16,F16,G16,H16,I16,J16,K16,L16,M16,N16,O16,P16,Q16,Tabla1[[#This Row],[212]])</f>
        <v>(PROYECTO","",),</v>
      </c>
      <c r="U16" s="1">
        <v>43144</v>
      </c>
      <c r="AB16">
        <v>10</v>
      </c>
      <c r="AC16" t="s">
        <v>51</v>
      </c>
      <c r="AD16" t="s">
        <v>27</v>
      </c>
    </row>
    <row r="17" spans="1:30" x14ac:dyDescent="0.25">
      <c r="A17" t="s">
        <v>45</v>
      </c>
      <c r="B17">
        <v>1001</v>
      </c>
      <c r="C17" t="s">
        <v>42</v>
      </c>
      <c r="D17" t="s">
        <v>21</v>
      </c>
      <c r="E17" t="s">
        <v>44</v>
      </c>
      <c r="F17" t="s">
        <v>22</v>
      </c>
      <c r="G17" t="s">
        <v>43</v>
      </c>
      <c r="H17">
        <v>20</v>
      </c>
      <c r="J17" s="2"/>
      <c r="K17" s="2"/>
      <c r="Q17" t="s">
        <v>46</v>
      </c>
      <c r="R17" t="s">
        <v>41</v>
      </c>
      <c r="S17" t="str">
        <f>_xlfn.CONCAT(A17,B17,C17,D17,E17,F17,G17,H17,I17,J17,K17,L17,M17,N17,O17,P17,Q17,Tabla1[[#This Row],[212]])</f>
        <v>(1001,"P1","Tlaxcala",20),</v>
      </c>
      <c r="AB17">
        <v>20</v>
      </c>
      <c r="AC17" t="s">
        <v>52</v>
      </c>
      <c r="AD17" t="s">
        <v>53</v>
      </c>
    </row>
    <row r="18" spans="1:30" x14ac:dyDescent="0.25">
      <c r="A18" t="s">
        <v>45</v>
      </c>
      <c r="B18">
        <v>1004</v>
      </c>
      <c r="C18" t="s">
        <v>42</v>
      </c>
      <c r="D18" t="s">
        <v>23</v>
      </c>
      <c r="E18" t="s">
        <v>44</v>
      </c>
      <c r="F18" t="s">
        <v>24</v>
      </c>
      <c r="G18" t="s">
        <v>43</v>
      </c>
      <c r="H18">
        <v>30</v>
      </c>
      <c r="J18" s="2"/>
      <c r="K18" s="2"/>
      <c r="Q18" t="s">
        <v>46</v>
      </c>
      <c r="R18" t="s">
        <v>41</v>
      </c>
      <c r="S18" t="str">
        <f>_xlfn.CONCAT(A18,B18,C18,D18,E18,F18,G18,H18,I18,J18,K18,L18,M18,N18,O18,P18,Q18,Tabla1[[#This Row],[212]])</f>
        <v>(1004,"P4","CDMX",30),</v>
      </c>
      <c r="Y18" s="3">
        <v>43144</v>
      </c>
      <c r="AB18">
        <v>30</v>
      </c>
      <c r="AC18" t="s">
        <v>54</v>
      </c>
      <c r="AD18" t="s">
        <v>24</v>
      </c>
    </row>
    <row r="19" spans="1:30" x14ac:dyDescent="0.25">
      <c r="A19" t="s">
        <v>45</v>
      </c>
      <c r="B19">
        <v>1005</v>
      </c>
      <c r="C19" t="s">
        <v>42</v>
      </c>
      <c r="D19" t="s">
        <v>25</v>
      </c>
      <c r="E19" t="s">
        <v>44</v>
      </c>
      <c r="F19" t="s">
        <v>24</v>
      </c>
      <c r="G19" t="s">
        <v>43</v>
      </c>
      <c r="H19">
        <v>30</v>
      </c>
      <c r="J19" s="2"/>
      <c r="K19" s="2"/>
      <c r="Q19" t="s">
        <v>46</v>
      </c>
      <c r="R19" t="s">
        <v>41</v>
      </c>
      <c r="S19" t="str">
        <f>_xlfn.CONCAT(A19,B19,C19,D19,E19,F19,G19,H19,I19,J19,K19,L19,M19,N19,O19,P19,Q19,Tabla1[[#This Row],[212]])</f>
        <v>(1005,"P5","CDMX",30),</v>
      </c>
      <c r="Y19" s="4">
        <v>36892</v>
      </c>
      <c r="AB19">
        <v>40</v>
      </c>
      <c r="AC19" t="s">
        <v>55</v>
      </c>
      <c r="AD19" t="s">
        <v>22</v>
      </c>
    </row>
    <row r="20" spans="1:30" x14ac:dyDescent="0.25">
      <c r="A20" t="s">
        <v>45</v>
      </c>
      <c r="B20">
        <v>1008</v>
      </c>
      <c r="C20" t="s">
        <v>42</v>
      </c>
      <c r="D20" t="s">
        <v>26</v>
      </c>
      <c r="E20" t="s">
        <v>44</v>
      </c>
      <c r="F20" t="s">
        <v>27</v>
      </c>
      <c r="G20" t="s">
        <v>43</v>
      </c>
      <c r="H20">
        <v>30</v>
      </c>
      <c r="J20" s="2"/>
      <c r="K20" s="2"/>
      <c r="Q20" t="s">
        <v>46</v>
      </c>
      <c r="R20" t="s">
        <v>41</v>
      </c>
      <c r="S20" t="str">
        <f>_xlfn.CONCAT(A20,B20,C20,D20,E20,F20,G20,H20,I20,J20,K20,L20,M20,N20,O20,P20,Q20,Tabla1[[#This Row],[212]])</f>
        <v>(1008,"P6","Aguascalientes",30),</v>
      </c>
      <c r="Y20" s="3">
        <v>41779</v>
      </c>
    </row>
    <row r="21" spans="1:30" x14ac:dyDescent="0.25">
      <c r="A21" t="s">
        <v>45</v>
      </c>
      <c r="B21" t="s">
        <v>49</v>
      </c>
      <c r="E21" t="s">
        <v>44</v>
      </c>
      <c r="J21" s="2"/>
      <c r="K21" s="2"/>
      <c r="Q21" t="s">
        <v>46</v>
      </c>
      <c r="R21" t="s">
        <v>41</v>
      </c>
      <c r="S21" t="str">
        <f>_xlfn.CONCAT(A21,B21,C21,D21,E21,F21,G21,H21,I21,J21,K21,L21,M21,N21,O21,P21,Q21,Tabla1[[#This Row],[212]])</f>
        <v>(EMPLEADO_PROYECTO","),</v>
      </c>
      <c r="Y21" s="4">
        <v>37163</v>
      </c>
    </row>
    <row r="22" spans="1:30" x14ac:dyDescent="0.25">
      <c r="A22" t="s">
        <v>45</v>
      </c>
      <c r="B22">
        <v>1231</v>
      </c>
      <c r="E22" t="s">
        <v>41</v>
      </c>
      <c r="H22">
        <v>1004</v>
      </c>
      <c r="J22" s="2"/>
      <c r="K22" t="s">
        <v>41</v>
      </c>
      <c r="L22">
        <v>15</v>
      </c>
      <c r="Q22" t="s">
        <v>46</v>
      </c>
      <c r="R22" t="s">
        <v>41</v>
      </c>
      <c r="S22" t="str">
        <f>_xlfn.CONCAT(A22,B22,C22,D22,E22,F22,G22,H22,I22,J22,K22,L22,M22,N22,O22,P22,Q22,Tabla1[[#This Row],[212]])</f>
        <v>(1231,1004,15),</v>
      </c>
      <c r="Y22" s="3">
        <v>39949</v>
      </c>
    </row>
    <row r="23" spans="1:30" x14ac:dyDescent="0.25">
      <c r="A23" t="s">
        <v>45</v>
      </c>
      <c r="B23">
        <v>1231</v>
      </c>
      <c r="E23" t="s">
        <v>41</v>
      </c>
      <c r="H23">
        <v>1005</v>
      </c>
      <c r="J23" s="2"/>
      <c r="K23" t="s">
        <v>41</v>
      </c>
      <c r="L23">
        <v>12</v>
      </c>
      <c r="Q23" t="s">
        <v>46</v>
      </c>
      <c r="R23" t="s">
        <v>41</v>
      </c>
      <c r="S23" t="str">
        <f>_xlfn.CONCAT(A23,B23,C23,D23,E23,F23,G23,H23,I23,J23,K23,L23,M23,N23,O23,P23,Q23,Tabla1[[#This Row],[212]])</f>
        <v>(1231,1005,12),</v>
      </c>
      <c r="Y23" s="4">
        <v>42807</v>
      </c>
    </row>
    <row r="24" spans="1:30" x14ac:dyDescent="0.25">
      <c r="A24" t="s">
        <v>45</v>
      </c>
      <c r="B24">
        <v>1232</v>
      </c>
      <c r="E24" t="s">
        <v>41</v>
      </c>
      <c r="H24">
        <v>1004</v>
      </c>
      <c r="J24" s="2"/>
      <c r="K24" t="s">
        <v>41</v>
      </c>
      <c r="L24">
        <v>10</v>
      </c>
      <c r="Q24" t="s">
        <v>46</v>
      </c>
      <c r="R24" t="s">
        <v>41</v>
      </c>
      <c r="S24" t="str">
        <f>_xlfn.CONCAT(A24,B24,C24,D24,E24,F24,G24,H24,I24,J24,K24,L24,M24,N24,O24,P24,Q24,Tabla1[[#This Row],[212]])</f>
        <v>(1232,1004,10),</v>
      </c>
      <c r="Y24" s="3">
        <v>38477</v>
      </c>
    </row>
    <row r="25" spans="1:30" x14ac:dyDescent="0.25">
      <c r="A25" t="s">
        <v>45</v>
      </c>
      <c r="B25">
        <v>1232</v>
      </c>
      <c r="E25" t="s">
        <v>41</v>
      </c>
      <c r="H25">
        <v>1008</v>
      </c>
      <c r="J25" s="2"/>
      <c r="K25" t="s">
        <v>41</v>
      </c>
      <c r="L25">
        <v>8</v>
      </c>
      <c r="Q25" t="s">
        <v>46</v>
      </c>
      <c r="R25" t="s">
        <v>41</v>
      </c>
      <c r="S25" t="str">
        <f>_xlfn.CONCAT(A25,B25,C25,D25,E25,F25,G25,H25,I25,J25,K25,L25,M25,N25,O25,P25,Q25,Tabla1[[#This Row],[212]])</f>
        <v>(1232,1008,8),</v>
      </c>
      <c r="Y25" s="4">
        <v>36526</v>
      </c>
    </row>
    <row r="26" spans="1:30" x14ac:dyDescent="0.25">
      <c r="A26" t="s">
        <v>45</v>
      </c>
      <c r="B26">
        <v>1234</v>
      </c>
      <c r="E26" t="s">
        <v>41</v>
      </c>
      <c r="H26">
        <v>1001</v>
      </c>
      <c r="J26" s="2"/>
      <c r="K26" t="s">
        <v>41</v>
      </c>
      <c r="L26">
        <v>16</v>
      </c>
      <c r="Q26" t="s">
        <v>46</v>
      </c>
      <c r="R26" t="s">
        <v>41</v>
      </c>
      <c r="S26" t="str">
        <f>_xlfn.CONCAT(A26,B26,C26,D26,E26,F26,G26,H26,I26,J26,K26,L26,M26,N26,O26,P26,Q26,Tabla1[[#This Row],[212]])</f>
        <v>(1234,1001,16),</v>
      </c>
      <c r="Y26" s="3">
        <v>38772</v>
      </c>
    </row>
    <row r="27" spans="1:30" x14ac:dyDescent="0.25">
      <c r="A27" t="s">
        <v>45</v>
      </c>
      <c r="B27">
        <v>1234</v>
      </c>
      <c r="E27" t="s">
        <v>41</v>
      </c>
      <c r="H27">
        <v>1006</v>
      </c>
      <c r="J27" s="2"/>
      <c r="K27" t="s">
        <v>41</v>
      </c>
      <c r="L27">
        <v>15</v>
      </c>
      <c r="Q27" t="s">
        <v>46</v>
      </c>
      <c r="R27" t="s">
        <v>41</v>
      </c>
      <c r="S27" t="str">
        <f>_xlfn.CONCAT(A27,B27,C27,D27,E27,F27,G27,H27,I27,J27,K27,L27,M27,N27,O27,P27,Q27,Tabla1[[#This Row],[212]])</f>
        <v>(1234,1006,15),</v>
      </c>
      <c r="Y27" s="4">
        <v>39707</v>
      </c>
    </row>
    <row r="28" spans="1:30" x14ac:dyDescent="0.25">
      <c r="A28" t="s">
        <v>45</v>
      </c>
      <c r="B28">
        <v>1234</v>
      </c>
      <c r="E28" t="s">
        <v>41</v>
      </c>
      <c r="H28">
        <v>1008</v>
      </c>
      <c r="J28" s="2"/>
      <c r="K28" t="s">
        <v>41</v>
      </c>
      <c r="L28">
        <v>5</v>
      </c>
      <c r="Q28" t="s">
        <v>46</v>
      </c>
      <c r="R28" t="s">
        <v>41</v>
      </c>
      <c r="S28" t="str">
        <f>_xlfn.CONCAT(A28,B28,C28,D28,E28,F28,G28,H28,I28,J28,K28,L28,M28,N28,O28,P28,Q28,Tabla1[[#This Row],[212]])</f>
        <v>(1234,1008,5),</v>
      </c>
      <c r="Y28" s="3">
        <v>39683</v>
      </c>
    </row>
    <row r="29" spans="1:30" x14ac:dyDescent="0.25">
      <c r="A29" t="s">
        <v>45</v>
      </c>
      <c r="B29">
        <v>1239</v>
      </c>
      <c r="E29" t="s">
        <v>41</v>
      </c>
      <c r="H29">
        <v>1005</v>
      </c>
      <c r="J29" s="2"/>
      <c r="K29" t="s">
        <v>41</v>
      </c>
      <c r="L29">
        <v>6</v>
      </c>
      <c r="Q29" t="s">
        <v>46</v>
      </c>
      <c r="R29" t="s">
        <v>41</v>
      </c>
      <c r="S29" t="str">
        <f>_xlfn.CONCAT(A29,B29,C29,D29,E29,F29,G29,H29,I29,J29,K29,L29,M29,N29,O29,P29,Q29,Tabla1[[#This Row],[212]])</f>
        <v>(1239,1005,6),</v>
      </c>
      <c r="Y29" s="4">
        <v>42932</v>
      </c>
    </row>
    <row r="30" spans="1:30" x14ac:dyDescent="0.25">
      <c r="A30" t="s">
        <v>45</v>
      </c>
      <c r="B30">
        <v>1248</v>
      </c>
      <c r="E30" t="s">
        <v>41</v>
      </c>
      <c r="H30">
        <v>1001</v>
      </c>
      <c r="J30" s="2"/>
      <c r="K30" t="s">
        <v>41</v>
      </c>
      <c r="L30">
        <v>4</v>
      </c>
      <c r="Q30" t="s">
        <v>46</v>
      </c>
      <c r="R30" t="s">
        <v>41</v>
      </c>
      <c r="S30" t="str">
        <f>_xlfn.CONCAT(A30,B30,C30,D30,E30,F30,G30,H30,I30,J30,K30,L30,M30,N30,O30,P30,Q30,Tabla1[[#This Row],[212]])</f>
        <v>(1248,1001,4),</v>
      </c>
      <c r="Y30" s="3">
        <v>42414</v>
      </c>
    </row>
    <row r="31" spans="1:30" x14ac:dyDescent="0.25">
      <c r="A31" t="s">
        <v>45</v>
      </c>
      <c r="J31" s="2"/>
      <c r="K31" s="2"/>
      <c r="Q31" t="s">
        <v>46</v>
      </c>
      <c r="R31" t="s">
        <v>41</v>
      </c>
      <c r="S31" t="str">
        <f>_xlfn.CONCAT(A31,B31,C31,D31,E31,F31,G31,H31,I31,J31,K31,L31,M31,N31,O31,P31,Q31,Tabla1[[#This Row],[212]])</f>
        <v>(),</v>
      </c>
    </row>
    <row r="32" spans="1:30" x14ac:dyDescent="0.25">
      <c r="A32" t="s">
        <v>45</v>
      </c>
      <c r="B32">
        <v>10</v>
      </c>
      <c r="C32" t="s">
        <v>42</v>
      </c>
      <c r="D32" t="s">
        <v>51</v>
      </c>
      <c r="E32" t="s">
        <v>44</v>
      </c>
      <c r="F32" t="s">
        <v>27</v>
      </c>
      <c r="G32" t="s">
        <v>56</v>
      </c>
      <c r="J32" s="2"/>
      <c r="K32" s="2"/>
      <c r="Q32" t="s">
        <v>46</v>
      </c>
      <c r="R32" t="s">
        <v>41</v>
      </c>
      <c r="S32" t="str">
        <f>_xlfn.CONCAT(A32,B32,C32,D32,E32,F32,G32,H32,I32,J32,K32,L32,M32,N32,O32,P32,Q32,Tabla1[[#This Row],[212]])</f>
        <v>(10,"Contabilidad","Aguascalientes"),</v>
      </c>
    </row>
    <row r="33" spans="1:19" x14ac:dyDescent="0.25">
      <c r="A33" t="s">
        <v>45</v>
      </c>
      <c r="B33">
        <v>20</v>
      </c>
      <c r="C33" t="s">
        <v>42</v>
      </c>
      <c r="D33" t="s">
        <v>52</v>
      </c>
      <c r="E33" t="s">
        <v>44</v>
      </c>
      <c r="F33" t="s">
        <v>53</v>
      </c>
      <c r="G33" t="s">
        <v>56</v>
      </c>
      <c r="J33" s="2"/>
      <c r="K33" s="2"/>
      <c r="Q33" t="s">
        <v>46</v>
      </c>
      <c r="R33" t="s">
        <v>41</v>
      </c>
      <c r="S33" t="str">
        <f>_xlfn.CONCAT(A33,B33,C33,D33,E33,F33,G33,H33,I33,J33,K33,L33,M33,N33,O33,P33,Q33,Tabla1[[#This Row],[212]])</f>
        <v>(20,"Investigación","Guadalajara"),</v>
      </c>
    </row>
    <row r="34" spans="1:19" x14ac:dyDescent="0.25">
      <c r="A34" t="s">
        <v>45</v>
      </c>
      <c r="B34">
        <v>30</v>
      </c>
      <c r="C34" t="s">
        <v>42</v>
      </c>
      <c r="D34" t="s">
        <v>54</v>
      </c>
      <c r="E34" t="s">
        <v>44</v>
      </c>
      <c r="F34" t="s">
        <v>24</v>
      </c>
      <c r="G34" t="s">
        <v>56</v>
      </c>
      <c r="J34" s="2"/>
      <c r="K34" s="2"/>
      <c r="Q34" t="s">
        <v>46</v>
      </c>
      <c r="S34" s="7" t="str">
        <f>_xlfn.CONCAT(A34,B34,C34,D34,E34,F34,G34,H34,I34,J34,K34,L34,M34,N34,O34,P34,Q34,Tabla1[[#This Row],[212]])</f>
        <v>(30,"Ventas","CDMX")</v>
      </c>
    </row>
    <row r="35" spans="1:19" x14ac:dyDescent="0.25">
      <c r="A35" t="s">
        <v>45</v>
      </c>
      <c r="B35">
        <v>40</v>
      </c>
      <c r="C35" t="s">
        <v>42</v>
      </c>
      <c r="D35" t="s">
        <v>55</v>
      </c>
      <c r="E35" t="s">
        <v>44</v>
      </c>
      <c r="F35" t="s">
        <v>22</v>
      </c>
      <c r="G35" t="s">
        <v>56</v>
      </c>
      <c r="J35" s="2"/>
      <c r="K35" s="2"/>
      <c r="Q35" t="s">
        <v>46</v>
      </c>
      <c r="S35" s="7" t="str">
        <f>_xlfn.CONCAT(A35,B35,C35,D35,E35,F35,G35,H35,I35,J35,K35,L35,M35,N35,O35,P35,Q35,Tabla1[[#This Row],[212]])</f>
        <v>(40,"Operaciones","Tlaxcala")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Negti</dc:creator>
  <cp:lastModifiedBy>Roberto Reyes</cp:lastModifiedBy>
  <dcterms:created xsi:type="dcterms:W3CDTF">2022-09-30T20:58:44Z</dcterms:created>
  <dcterms:modified xsi:type="dcterms:W3CDTF">2022-10-01T13:28:19Z</dcterms:modified>
</cp:coreProperties>
</file>